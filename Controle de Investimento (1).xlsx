
<file path=[Content_Types].xml><?xml version="1.0" encoding="utf-8"?>
<Types xmlns="http://schemas.openxmlformats.org/package/2006/content-types">
  <Default Extension="rels" ContentType="application/vnd.openxmlformats-package.relationships+xml"/>
  <Default Extension="xlsrvcdf" ContentType="image/jpe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0" documentId="8_{F201AB3E-F610-492D-81C4-E83C09CBFBA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2" r:id="rId1"/>
    <sheet name="Planilha2" sheetId="3" r:id="rId2"/>
  </sheets>
  <definedNames>
    <definedName name="rendimento">Planilha1!$D$11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1" i="2" l="1"/>
  <c r="C62" i="2"/>
  <c r="C63" i="2"/>
  <c r="C64" i="2"/>
  <c r="C65" i="2"/>
  <c r="C66" i="2"/>
  <c r="C34" i="2"/>
  <c r="D34" i="2" s="1"/>
  <c r="C35" i="2"/>
  <c r="D35" i="2" s="1"/>
  <c r="C36" i="2"/>
  <c r="D36" i="2" s="1"/>
  <c r="C37" i="2"/>
  <c r="D37" i="2" s="1"/>
  <c r="C38" i="2"/>
  <c r="D38" i="2" s="1"/>
  <c r="C39" i="2"/>
  <c r="D39" i="2" s="1"/>
  <c r="A8" i="3"/>
  <c r="A9" i="3"/>
  <c r="A10" i="3"/>
  <c r="A11" i="3"/>
  <c r="A12" i="3"/>
  <c r="A13" i="3"/>
  <c r="A14" i="3"/>
  <c r="A15" i="3"/>
  <c r="A16" i="3"/>
  <c r="A17" i="3"/>
  <c r="A18" i="3"/>
  <c r="A19" i="3"/>
  <c r="A4" i="3"/>
  <c r="A5" i="3"/>
  <c r="A6" i="3"/>
  <c r="A7" i="3"/>
  <c r="A3" i="3"/>
  <c r="A2" i="3"/>
  <c r="D40" i="2"/>
  <c r="C31" i="2"/>
  <c r="D12" i="2"/>
  <c r="C22" i="2"/>
  <c r="D22" i="2" s="1"/>
  <c r="C23" i="2"/>
  <c r="D23" i="2" s="1"/>
  <c r="C24" i="2"/>
  <c r="D24" i="2" s="1"/>
  <c r="C25" i="2"/>
  <c r="D25" i="2" s="1"/>
  <c r="C26" i="2"/>
  <c r="D26" i="2" s="1"/>
  <c r="D18" i="2"/>
  <c r="D19" i="2" s="1"/>
  <c r="D62" i="2" l="1"/>
  <c r="D63" i="2"/>
  <c r="D64" i="2"/>
  <c r="D65" i="2"/>
  <c r="D66" i="2"/>
  <c r="D61" i="2"/>
  <c r="D67" i="2" s="1"/>
  <c r="C58" i="2"/>
</calcChain>
</file>

<file path=xl/sharedStrings.xml><?xml version="1.0" encoding="utf-8"?>
<sst xmlns="http://schemas.openxmlformats.org/spreadsheetml/2006/main" count="81" uniqueCount="34">
  <si>
    <t>Configurações</t>
  </si>
  <si>
    <t>Salário</t>
  </si>
  <si>
    <t>Rendimento de carteira</t>
  </si>
  <si>
    <t>Sugestão de investimento (30%)</t>
  </si>
  <si>
    <t>Investimento Mensal</t>
  </si>
  <si>
    <t>Quantos investir por mês?</t>
  </si>
  <si>
    <t>Por quantos ano deve investir?</t>
  </si>
  <si>
    <t>Qual a taxa de rendimento mensal?</t>
  </si>
  <si>
    <t>Quanto de patrimônio acumulado?</t>
  </si>
  <si>
    <t>Quanto é os dividendos mensais?</t>
  </si>
  <si>
    <t>Cenários</t>
  </si>
  <si>
    <t>Dividendo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</si>
  <si>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</si>
  <si>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</si>
  <si>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</si>
  <si>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</si>
  <si>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</si>
  <si>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</si>
  <si>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</si>
  <si>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</si>
  <si>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</si>
  <si>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</si>
  <si>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</si>
  <si>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</si>
  <si>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</si>
  <si>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</si>
  <si>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</si>
  <si>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</si>
  <si>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</si>
  <si>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Agressivo</t>
  </si>
  <si>
    <t>Sugestão de investimento por mês</t>
  </si>
  <si>
    <t>CHAVE</t>
  </si>
  <si>
    <t>%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</si>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</sst>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_-[$R$-416]\ * #,##0.00_-;\-[$R$-416]\ * #,##0.00_-;_-[$R$-416]\ * &quot;-&quot;??_-;_-@_-"/>
    <numFmt numFmtId="165" formatCode="&quot;R$&quot;\ #,##0.00"/>
    <numFmt numFmtId="166" formatCode="0.0%"/>
  </numFmts>
  <fonts count="11"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9C5700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93E44"/>
        <bgColor indexed="64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7">
    <border>
      <left/>
      <right/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/>
      <top style="thin">
        <color rgb="FFD9D9D9"/>
      </top>
      <bottom/>
      <diagonal/>
    </border>
    <border>
      <left style="medium">
        <color theme="1"/>
      </left>
      <right/>
      <top style="thin">
        <color rgb="FFD9D9D9"/>
      </top>
      <bottom style="thin">
        <color rgb="FFD9D9D9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theme="1"/>
      </left>
      <right style="thin">
        <color rgb="FFD9D9D9"/>
      </right>
      <top/>
      <bottom style="medium">
        <color theme="1"/>
      </bottom>
      <diagonal/>
    </border>
    <border>
      <left/>
      <right/>
      <top style="thin">
        <color rgb="FFD9D9D9"/>
      </top>
      <bottom style="medium">
        <color theme="1"/>
      </bottom>
      <diagonal/>
    </border>
    <border>
      <left style="thin">
        <color rgb="FFD9D9D9"/>
      </left>
      <right style="medium">
        <color theme="1"/>
      </right>
      <top/>
      <bottom style="thin">
        <color rgb="FFD9D9D9"/>
      </bottom>
      <diagonal/>
    </border>
    <border>
      <left style="medium">
        <color theme="1"/>
      </left>
      <right/>
      <top style="medium">
        <color theme="1"/>
      </top>
      <bottom style="medium">
        <color theme="1" tint="4.9989318521683403E-2"/>
      </bottom>
      <diagonal/>
    </border>
    <border>
      <left/>
      <right/>
      <top style="medium">
        <color theme="1"/>
      </top>
      <bottom style="medium">
        <color theme="1" tint="4.9989318521683403E-2"/>
      </bottom>
      <diagonal/>
    </border>
    <border>
      <left style="thin">
        <color rgb="FF093E44"/>
      </left>
      <right style="medium">
        <color theme="1"/>
      </right>
      <top style="medium">
        <color theme="1"/>
      </top>
      <bottom style="medium">
        <color theme="1" tint="4.9989318521683403E-2"/>
      </bottom>
      <diagonal/>
    </border>
    <border>
      <left style="thin">
        <color rgb="FFD9D9D9"/>
      </left>
      <right style="medium">
        <color theme="1"/>
      </right>
      <top/>
      <bottom style="medium">
        <color theme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  <diagonal/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8" fillId="3" borderId="0" applyNumberFormat="0" applyBorder="0" applyAlignment="0" applyProtection="0"/>
  </cellStyleXfs>
  <cellXfs count="61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/>
    <xf numFmtId="0" fontId="6" fillId="2" borderId="13" xfId="0" applyFont="1" applyFill="1" applyBorder="1" applyAlignment="1">
      <alignment horizontal="center" vertical="center"/>
    </xf>
    <xf numFmtId="165" fontId="0" fillId="4" borderId="19" xfId="0" applyNumberFormat="1" applyFill="1" applyBorder="1" applyAlignment="1">
      <alignment horizontal="left"/>
    </xf>
    <xf numFmtId="10" fontId="0" fillId="4" borderId="22" xfId="0" applyNumberFormat="1" applyFill="1" applyBorder="1" applyAlignment="1">
      <alignment horizontal="left"/>
    </xf>
    <xf numFmtId="165" fontId="0" fillId="4" borderId="25" xfId="0" applyNumberFormat="1" applyFill="1" applyBorder="1" applyAlignment="1">
      <alignment horizontal="left"/>
    </xf>
    <xf numFmtId="8" fontId="2" fillId="4" borderId="2" xfId="0" applyNumberFormat="1" applyFont="1" applyFill="1" applyBorder="1" applyAlignment="1">
      <alignment horizontal="center"/>
    </xf>
    <xf numFmtId="165" fontId="2" fillId="4" borderId="10" xfId="0" applyNumberFormat="1" applyFont="1" applyFill="1" applyBorder="1" applyAlignment="1"/>
    <xf numFmtId="8" fontId="2" fillId="4" borderId="1" xfId="0" applyNumberFormat="1" applyFont="1" applyFill="1" applyBorder="1" applyAlignment="1">
      <alignment horizontal="center"/>
    </xf>
    <xf numFmtId="8" fontId="2" fillId="4" borderId="3" xfId="0" applyNumberFormat="1" applyFont="1" applyFill="1" applyBorder="1" applyAlignment="1">
      <alignment horizontal="center"/>
    </xf>
    <xf numFmtId="8" fontId="2" fillId="4" borderId="4" xfId="0" applyNumberFormat="1" applyFont="1" applyFill="1" applyBorder="1" applyAlignment="1">
      <alignment horizontal="center"/>
    </xf>
    <xf numFmtId="8" fontId="2" fillId="4" borderId="9" xfId="0" applyNumberFormat="1" applyFont="1" applyFill="1" applyBorder="1" applyAlignment="1">
      <alignment horizontal="center"/>
    </xf>
    <xf numFmtId="165" fontId="2" fillId="4" borderId="14" xfId="0" applyNumberFormat="1" applyFont="1" applyFill="1" applyBorder="1" applyAlignment="1"/>
    <xf numFmtId="0" fontId="9" fillId="4" borderId="6" xfId="0" applyFont="1" applyFill="1" applyBorder="1" applyAlignment="1">
      <alignment horizontal="left" indent="3"/>
    </xf>
    <xf numFmtId="0" fontId="9" fillId="4" borderId="5" xfId="0" applyFont="1" applyFill="1" applyBorder="1" applyAlignment="1">
      <alignment horizontal="left" indent="3"/>
    </xf>
    <xf numFmtId="0" fontId="9" fillId="4" borderId="7" xfId="0" applyFont="1" applyFill="1" applyBorder="1" applyAlignment="1">
      <alignment horizontal="left" indent="3"/>
    </xf>
    <xf numFmtId="0" fontId="9" fillId="4" borderId="8" xfId="0" applyFont="1" applyFill="1" applyBorder="1" applyAlignment="1">
      <alignment horizontal="left" indent="3"/>
    </xf>
    <xf numFmtId="164" fontId="3" fillId="0" borderId="19" xfId="0" applyNumberFormat="1" applyFont="1" applyBorder="1" applyAlignment="1">
      <alignment horizontal="center" vertical="center" indent="7"/>
    </xf>
    <xf numFmtId="0" fontId="3" fillId="0" borderId="22" xfId="0" applyFont="1" applyBorder="1" applyAlignment="1">
      <alignment horizontal="center"/>
    </xf>
    <xf numFmtId="10" fontId="3" fillId="0" borderId="22" xfId="0" applyNumberFormat="1" applyFont="1" applyBorder="1" applyAlignment="1">
      <alignment horizontal="center"/>
    </xf>
    <xf numFmtId="8" fontId="3" fillId="5" borderId="22" xfId="0" applyNumberFormat="1" applyFont="1" applyFill="1" applyBorder="1" applyAlignment="1">
      <alignment horizontal="center"/>
    </xf>
    <xf numFmtId="8" fontId="3" fillId="5" borderId="25" xfId="0" applyNumberFormat="1" applyFont="1" applyFill="1" applyBorder="1" applyAlignment="1">
      <alignment horizontal="center"/>
    </xf>
    <xf numFmtId="0" fontId="8" fillId="3" borderId="0" xfId="1"/>
    <xf numFmtId="0" fontId="8" fillId="3" borderId="0" xfId="1" applyAlignment="1">
      <alignment horizontal="center"/>
    </xf>
    <xf numFmtId="0" fontId="0" fillId="6" borderId="0" xfId="0" applyFill="1"/>
    <xf numFmtId="165" fontId="4" fillId="6" borderId="0" xfId="0" applyNumberFormat="1" applyFont="1" applyFill="1" applyAlignment="1">
      <alignment horizontal="center"/>
    </xf>
    <xf numFmtId="0" fontId="4" fillId="6" borderId="0" xfId="0" applyFont="1" applyFill="1"/>
    <xf numFmtId="0" fontId="0" fillId="0" borderId="0" xfId="0" applyAlignment="1">
      <alignment horizontal="center"/>
    </xf>
    <xf numFmtId="9" fontId="0" fillId="0" borderId="0" xfId="0" applyNumberFormat="1" applyFont="1" applyAlignment="1">
      <alignment horizontal="center"/>
    </xf>
    <xf numFmtId="164" fontId="0" fillId="0" borderId="0" xfId="0" applyNumberFormat="1"/>
    <xf numFmtId="0" fontId="4" fillId="7" borderId="0" xfId="0" applyFont="1" applyFill="1" applyAlignment="1">
      <alignment horizontal="center"/>
    </xf>
    <xf numFmtId="0" fontId="0" fillId="7" borderId="0" xfId="0" applyFill="1"/>
    <xf numFmtId="164" fontId="4" fillId="7" borderId="0" xfId="0" applyNumberFormat="1" applyFont="1" applyFill="1"/>
    <xf numFmtId="0" fontId="0" fillId="0" borderId="26" xfId="0" applyBorder="1"/>
    <xf numFmtId="0" fontId="0" fillId="0" borderId="26" xfId="0" applyBorder="1" applyAlignment="1">
      <alignment horizontal="center"/>
    </xf>
    <xf numFmtId="9" fontId="0" fillId="0" borderId="26" xfId="0" applyNumberFormat="1" applyFont="1" applyBorder="1" applyAlignment="1">
      <alignment horizontal="center"/>
    </xf>
    <xf numFmtId="0" fontId="0" fillId="0" borderId="0" xfId="0" applyBorder="1"/>
    <xf numFmtId="9" fontId="0" fillId="0" borderId="0" xfId="0" applyNumberFormat="1" applyAlignment="1">
      <alignment horizontal="center"/>
    </xf>
    <xf numFmtId="9" fontId="0" fillId="0" borderId="26" xfId="0" applyNumberFormat="1" applyBorder="1" applyAlignment="1">
      <alignment horizontal="center"/>
    </xf>
    <xf numFmtId="165" fontId="4" fillId="7" borderId="0" xfId="0" applyNumberFormat="1" applyFont="1" applyFill="1" applyAlignment="1">
      <alignment horizontal="center"/>
    </xf>
    <xf numFmtId="165" fontId="0" fillId="0" borderId="0" xfId="0" applyNumberFormat="1"/>
    <xf numFmtId="166" fontId="4" fillId="0" borderId="0" xfId="0" applyNumberFormat="1" applyFont="1" applyAlignment="1">
      <alignment horizontal="center"/>
    </xf>
    <xf numFmtId="0" fontId="1" fillId="2" borderId="15" xfId="0" applyFont="1" applyFill="1" applyBorder="1" applyAlignment="1">
      <alignment horizontal="center" vertical="center" indent="3"/>
    </xf>
    <xf numFmtId="0" fontId="1" fillId="2" borderId="16" xfId="0" applyFont="1" applyFill="1" applyBorder="1" applyAlignment="1">
      <alignment horizontal="center" vertical="center" indent="3"/>
    </xf>
    <xf numFmtId="0" fontId="1" fillId="2" borderId="17" xfId="0" applyFont="1" applyFill="1" applyBorder="1" applyAlignment="1">
      <alignment horizontal="center" vertical="center" indent="3"/>
    </xf>
    <xf numFmtId="0" fontId="9" fillId="4" borderId="18" xfId="0" applyFont="1" applyFill="1" applyBorder="1" applyAlignment="1">
      <alignment horizontal="left" indent="3"/>
    </xf>
    <xf numFmtId="0" fontId="9" fillId="4" borderId="1" xfId="0" applyFont="1" applyFill="1" applyBorder="1" applyAlignment="1">
      <alignment horizontal="left" indent="3"/>
    </xf>
    <xf numFmtId="0" fontId="9" fillId="4" borderId="20" xfId="0" applyFont="1" applyFill="1" applyBorder="1" applyAlignment="1">
      <alignment horizontal="left" indent="3"/>
    </xf>
    <xf numFmtId="0" fontId="9" fillId="4" borderId="21" xfId="0" applyFont="1" applyFill="1" applyBorder="1" applyAlignment="1">
      <alignment horizontal="left" indent="3"/>
    </xf>
    <xf numFmtId="0" fontId="9" fillId="4" borderId="23" xfId="0" applyFont="1" applyFill="1" applyBorder="1" applyAlignment="1">
      <alignment horizontal="left" indent="3"/>
    </xf>
    <xf numFmtId="0" fontId="9" fillId="4" borderId="24" xfId="0" applyFont="1" applyFill="1" applyBorder="1" applyAlignment="1">
      <alignment horizontal="left" indent="3"/>
    </xf>
    <xf numFmtId="0" fontId="7" fillId="2" borderId="15" xfId="0" applyFont="1" applyFill="1" applyBorder="1" applyAlignment="1">
      <alignment horizontal="center" vertical="center" indent="3"/>
    </xf>
    <xf numFmtId="0" fontId="7" fillId="2" borderId="16" xfId="0" applyFont="1" applyFill="1" applyBorder="1" applyAlignment="1">
      <alignment horizontal="center" vertical="center" indent="3"/>
    </xf>
    <xf numFmtId="0" fontId="7" fillId="2" borderId="17" xfId="0" applyFont="1" applyFill="1" applyBorder="1" applyAlignment="1">
      <alignment horizontal="center" vertical="center" indent="3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0" fillId="5" borderId="20" xfId="0" applyFont="1" applyFill="1" applyBorder="1" applyAlignment="1">
      <alignment horizontal="left" indent="3"/>
    </xf>
    <xf numFmtId="0" fontId="10" fillId="5" borderId="21" xfId="0" applyFont="1" applyFill="1" applyBorder="1" applyAlignment="1">
      <alignment horizontal="left" indent="3"/>
    </xf>
    <xf numFmtId="0" fontId="10" fillId="5" borderId="23" xfId="0" applyFont="1" applyFill="1" applyBorder="1" applyAlignment="1">
      <alignment horizontal="left" indent="3"/>
    </xf>
    <xf numFmtId="0" fontId="10" fillId="5" borderId="24" xfId="0" applyFont="1" applyFill="1" applyBorder="1" applyAlignment="1">
      <alignment horizontal="left" indent="3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Medium9"/>
  <colors>
    <mruColors>
      <color rgb="FF093E43"/>
      <color rgb="FFD9D9D9"/>
      <color rgb="FF093E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Planilha1!$C$33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6E-414F-9470-0F1508B056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6E-414F-9470-0F1508B056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6E-414F-9470-0F1508B056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36E-414F-9470-0F1508B05610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F01-4FA4-B479-5C03E1E613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36E-414F-9470-0F1508B056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Planilha1!$C$34:$C$39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1-4FA4-B479-5C03E1E6134D}"/>
            </c:ext>
          </c:extLst>
        </c:ser>
        <c:ser>
          <c:idx val="1"/>
          <c:order val="1"/>
          <c:tx>
            <c:strRef>
              <c:f>Planilha1!$D$33</c:f>
              <c:strCache>
                <c:ptCount val="1"/>
                <c:pt idx="0">
                  <c:v>VALORES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36E-414F-9470-0F1508B056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36E-414F-9470-0F1508B056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36E-414F-9470-0F1508B056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36E-414F-9470-0F1508B056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36E-414F-9470-0F1508B056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36E-414F-9470-0F1508B05610}"/>
              </c:ext>
            </c:extLst>
          </c:dPt>
          <c:cat>
            <c:strRef>
              <c:f>Planilha1!$B$34:$B$39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Planilha1!$D$34:$D$39</c:f>
              <c:numCache>
                <c:formatCode>_-[$R$-416]\ * #,##0.00_-;\-[$R$-416]\ * #,##0.00_-;_-[$R$-416]\ * "-"??_-;_-@_-</c:formatCode>
                <c:ptCount val="6"/>
                <c:pt idx="0">
                  <c:v>30</c:v>
                </c:pt>
                <c:pt idx="1">
                  <c:v>50</c:v>
                </c:pt>
                <c:pt idx="2">
                  <c:v>10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01-4FA4-B479-5C03E1E61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Planilha1!$C$60</c:f>
              <c:strCache>
                <c:ptCount val="1"/>
                <c:pt idx="0">
                  <c:v>PERCENTUAL SUGERIDO</c:v>
                </c:pt>
              </c:strCache>
            </c:strRef>
          </c:tx>
          <c:spPr>
            <a:ln w="25400"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F4-40C1-AB6D-72C035998F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F4-40C1-AB6D-72C035998F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F4-40C1-AB6D-72C035998F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7F4-40C1-AB6D-72C035998F79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27BD-43EE-9DC1-90F3D3D2195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7F4-40C1-AB6D-72C035998F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Planilha1!$B$61:$B$66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Planilha1!$C$61:$C$66</c:f>
              <c:numCache>
                <c:formatCode>0.0%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1-485C-AEFF-CAF3373AE342}"/>
            </c:ext>
          </c:extLst>
        </c:ser>
        <c:ser>
          <c:idx val="1"/>
          <c:order val="1"/>
          <c:tx>
            <c:strRef>
              <c:f>Planilha1!$D$60</c:f>
              <c:strCache>
                <c:ptCount val="1"/>
                <c:pt idx="0">
                  <c:v>VALORES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7F4-40C1-AB6D-72C035998F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7F4-40C1-AB6D-72C035998F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7F4-40C1-AB6D-72C035998F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7F4-40C1-AB6D-72C035998F7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7F4-40C1-AB6D-72C035998F7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7F4-40C1-AB6D-72C035998F79}"/>
              </c:ext>
            </c:extLst>
          </c:dPt>
          <c:cat>
            <c:strRef>
              <c:f>Planilha1!$B$61:$B$66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Planilha1!$D$61:$D$66</c:f>
              <c:numCache>
                <c:formatCode>"R$"\ #,##0.00</c:formatCode>
                <c:ptCount val="6"/>
                <c:pt idx="0">
                  <c:v>630</c:v>
                </c:pt>
                <c:pt idx="1">
                  <c:v>126</c:v>
                </c:pt>
                <c:pt idx="2">
                  <c:v>63</c:v>
                </c:pt>
                <c:pt idx="3">
                  <c:v>63</c:v>
                </c:pt>
                <c:pt idx="4">
                  <c:v>252</c:v>
                </c:pt>
                <c:pt idx="5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71-485C-AEFF-CAF3373AE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xlsrvcd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76200</xdr:rowOff>
    </xdr:from>
    <xdr:to>
      <xdr:col>4</xdr:col>
      <xdr:colOff>9525</xdr:colOff>
      <xdr:row>6</xdr:row>
      <xdr:rowOff>76200</xdr:rowOff>
    </xdr:to>
    <xdr:sp macro="" textlink="">
      <xdr:nvSpPr>
        <xdr:cNvPr id="4" name="Retângulo Arredondado 3">
          <a:extLst>
            <a:ext uri="{FF2B5EF4-FFF2-40B4-BE49-F238E27FC236}">
              <a16:creationId xmlns:a16="http://schemas.microsoft.com/office/drawing/2014/main" id="{B1953ABD-DC4C-72BD-5650-23E9F32DCEFD}"/>
            </a:ext>
          </a:extLst>
        </xdr:cNvPr>
        <xdr:cNvSpPr/>
      </xdr:nvSpPr>
      <xdr:spPr>
        <a:xfrm>
          <a:off x="657225" y="266700"/>
          <a:ext cx="6362700" cy="952500"/>
        </a:xfrm>
        <a:prstGeom prst="roundRect">
          <a:avLst/>
        </a:prstGeom>
        <a:solidFill>
          <a:srgbClr val="093E4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3600" b="0" i="0">
              <a:solidFill>
                <a:schemeClr val="lt1"/>
              </a:solidFill>
              <a:latin typeface="Bookman Old Style" panose="02050604050505020204" pitchFamily="18" charset="0"/>
            </a:rPr>
            <a:t>SOUZA INVEST</a:t>
          </a:r>
        </a:p>
      </xdr:txBody>
    </xdr:sp>
    <xdr:clientData/>
  </xdr:twoCellAnchor>
  <xdr:twoCellAnchor editAs="oneCell">
    <xdr:from>
      <xdr:col>1</xdr:col>
      <xdr:colOff>219075</xdr:colOff>
      <xdr:row>1</xdr:row>
      <xdr:rowOff>76200</xdr:rowOff>
    </xdr:from>
    <xdr:to>
      <xdr:col>1</xdr:col>
      <xdr:colOff>1428750</xdr:colOff>
      <xdr:row>6</xdr:row>
      <xdr:rowOff>76200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5839409-0C15-9E91-77E1-C0D84494130B}"/>
            </a:ext>
            <a:ext uri="{147F2762-F138-4A5C-976F-8EAC2B608ADB}">
              <a16:predDERef xmlns:a16="http://schemas.microsoft.com/office/drawing/2014/main" pred="{B1953ABD-DC4C-72BD-5650-23E9F32DC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5" y="266700"/>
          <a:ext cx="1209675" cy="952500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40</xdr:row>
      <xdr:rowOff>47625</xdr:rowOff>
    </xdr:from>
    <xdr:to>
      <xdr:col>3</xdr:col>
      <xdr:colOff>1047750</xdr:colOff>
      <xdr:row>54</xdr:row>
      <xdr:rowOff>123825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9FD47B2-D9CF-7EA3-3A75-AD8CDFCA5561}"/>
            </a:ext>
            <a:ext uri="{147F2762-F138-4A5C-976F-8EAC2B608ADB}">
              <a16:predDERef xmlns:a16="http://schemas.microsoft.com/office/drawing/2014/main" pred="{F5839409-0C15-9E91-77E1-C0D844941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600075</xdr:colOff>
      <xdr:row>67</xdr:row>
      <xdr:rowOff>76200</xdr:rowOff>
    </xdr:from>
    <xdr:to>
      <xdr:col>3</xdr:col>
      <xdr:colOff>1057275</xdr:colOff>
      <xdr:row>81</xdr:row>
      <xdr:rowOff>152400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A1308A1-F094-0609-6200-D47B41C7A4BA}"/>
            </a:ext>
            <a:ext uri="{147F2762-F138-4A5C-976F-8EAC2B608ADB}">
              <a16:predDERef xmlns:a16="http://schemas.microsoft.com/office/drawing/2014/main" pred="{89FD47B2-D9CF-7EA3-3A75-AD8CDFCA55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8C112-56C5-48D2-A1A7-65E768A7886F}">
  <dimension ref="A9:I67"/>
  <sheetViews>
    <sheetView showGridLines="0" tabSelected="1" topLeftCell="A31" workbookViewId="0">
      <selection activeCell="D18" sqref="D18"/>
    </sheetView>
  </sheetViews>
  <sheetFormatPr defaultColWidth="0" defaultRowHeight="15"/>
  <cols>
    <col min="1" max="1" width="9.140625" customWidth="1"/>
    <col min="2" max="2" width="39.140625" customWidth="1"/>
    <col min="3" max="3" width="40.85546875" style="1" customWidth="1"/>
    <col min="4" max="4" width="16" customWidth="1"/>
    <col min="5" max="5" width="3.42578125" customWidth="1"/>
    <col min="6" max="6" width="2.42578125" customWidth="1"/>
    <col min="7" max="7" width="3" customWidth="1"/>
    <col min="8" max="9" width="9.140625" hidden="1" customWidth="1"/>
  </cols>
  <sheetData>
    <row r="9" spans="2:4" ht="18.75">
      <c r="B9" s="52" t="s">
        <v>0</v>
      </c>
      <c r="C9" s="53"/>
      <c r="D9" s="54"/>
    </row>
    <row r="10" spans="2:4" ht="15.75">
      <c r="B10" s="46" t="s">
        <v>1</v>
      </c>
      <c r="C10" s="47"/>
      <c r="D10" s="4">
        <v>4200</v>
      </c>
    </row>
    <row r="11" spans="2:4" ht="15.75">
      <c r="B11" s="48" t="s">
        <v>2</v>
      </c>
      <c r="C11" s="49"/>
      <c r="D11" s="5">
        <v>6.0000000000000001E-3</v>
      </c>
    </row>
    <row r="12" spans="2:4" ht="15.75">
      <c r="B12" s="50" t="s">
        <v>3</v>
      </c>
      <c r="C12" s="51"/>
      <c r="D12" s="6">
        <f>D10*30%</f>
        <v>1260</v>
      </c>
    </row>
    <row r="14" spans="2:4" ht="29.25" customHeight="1">
      <c r="B14" s="43" t="s">
        <v>4</v>
      </c>
      <c r="C14" s="44"/>
      <c r="D14" s="45"/>
    </row>
    <row r="15" spans="2:4" ht="17.25">
      <c r="B15" s="46" t="s">
        <v>5</v>
      </c>
      <c r="C15" s="47"/>
      <c r="D15" s="18">
        <v>100</v>
      </c>
    </row>
    <row r="16" spans="2:4" ht="17.25">
      <c r="B16" s="48" t="s">
        <v>6</v>
      </c>
      <c r="C16" s="49"/>
      <c r="D16" s="19">
        <v>5</v>
      </c>
    </row>
    <row r="17" spans="1:4" ht="17.25">
      <c r="B17" s="48" t="s">
        <v>7</v>
      </c>
      <c r="C17" s="49"/>
      <c r="D17" s="20">
        <v>1.0789999999999999E-2</v>
      </c>
    </row>
    <row r="18" spans="1:4" ht="17.25">
      <c r="B18" s="57" t="s">
        <v>8</v>
      </c>
      <c r="C18" s="58"/>
      <c r="D18" s="21">
        <f>FV(D17,D16*12,D15*-1)</f>
        <v>8377.6913998487635</v>
      </c>
    </row>
    <row r="19" spans="1:4" ht="17.25">
      <c r="B19" s="59" t="s">
        <v>9</v>
      </c>
      <c r="C19" s="60"/>
      <c r="D19" s="22">
        <f>D18*$D$11</f>
        <v>50.266148399092579</v>
      </c>
    </row>
    <row r="21" spans="1:4" ht="26.25">
      <c r="B21" s="55" t="s">
        <v>10</v>
      </c>
      <c r="C21" s="56"/>
      <c r="D21" s="3" t="s">
        <v>11</v>
      </c>
    </row>
    <row r="22" spans="1:4" ht="17.25">
      <c r="A22" s="2">
        <v>2</v>
      </c>
      <c r="B22" s="14" t="s">
        <v>12</v>
      </c>
      <c r="C22" s="7">
        <f>FV($D$17,A22*12,$D$15*-1)</f>
        <v>2722.7627297645217</v>
      </c>
      <c r="D22" s="8">
        <f>C22*$D$11</f>
        <v>16.336576378587132</v>
      </c>
    </row>
    <row r="23" spans="1:4" ht="17.25">
      <c r="A23" s="2">
        <v>5</v>
      </c>
      <c r="B23" s="15" t="s">
        <v>13</v>
      </c>
      <c r="C23" s="9">
        <f>FV($D$17,A23*12,$D$15*-1)</f>
        <v>8377.6913998487635</v>
      </c>
      <c r="D23" s="8">
        <f>C23*$D$11</f>
        <v>50.266148399092579</v>
      </c>
    </row>
    <row r="24" spans="1:4" ht="17.25">
      <c r="A24" s="2">
        <v>10</v>
      </c>
      <c r="B24" s="14" t="s">
        <v>14</v>
      </c>
      <c r="C24" s="10">
        <f>FV($D$17,A24*12,$D$15*-1)</f>
        <v>24328.421253017219</v>
      </c>
      <c r="D24" s="8">
        <f>C24*$D$11</f>
        <v>145.97052751810332</v>
      </c>
    </row>
    <row r="25" spans="1:4" ht="17.25">
      <c r="A25" s="2">
        <v>20</v>
      </c>
      <c r="B25" s="16" t="s">
        <v>15</v>
      </c>
      <c r="C25" s="11">
        <f>FV($D$17,A25*12,$D$15*-1)</f>
        <v>112519.84000970806</v>
      </c>
      <c r="D25" s="8">
        <f>C25*$D$11</f>
        <v>675.1190400582484</v>
      </c>
    </row>
    <row r="26" spans="1:4" ht="17.25">
      <c r="A26" s="2">
        <v>30</v>
      </c>
      <c r="B26" s="17" t="s">
        <v>16</v>
      </c>
      <c r="C26" s="12">
        <f>FV($D$17,A26*12,$D$15*-1)</f>
        <v>432216.96550047147</v>
      </c>
      <c r="D26" s="13">
        <f>C26*$D$11</f>
        <v>2593.3017930028291</v>
      </c>
    </row>
    <row r="30" spans="1:4">
      <c r="B30" s="23" t="s">
        <v>17</v>
      </c>
      <c r="C30" s="24" t="s">
        <v>18</v>
      </c>
      <c r="D30" s="23"/>
    </row>
    <row r="31" spans="1:4">
      <c r="B31" s="27" t="s">
        <v>19</v>
      </c>
      <c r="C31" s="26">
        <f>D15</f>
        <v>100</v>
      </c>
      <c r="D31" s="25"/>
    </row>
    <row r="33" spans="2:4">
      <c r="B33" s="31" t="s">
        <v>20</v>
      </c>
      <c r="C33" s="31" t="s">
        <v>21</v>
      </c>
      <c r="D33" s="31" t="s">
        <v>22</v>
      </c>
    </row>
    <row r="34" spans="2:4">
      <c r="B34" s="28" t="s">
        <v>23</v>
      </c>
      <c r="C34" s="29">
        <f>VLOOKUP($C$30&amp;"-"&amp;B34,Planilha2!$A:$D,4,FALSE)</f>
        <v>0.3</v>
      </c>
      <c r="D34" s="30">
        <f>C34*$D$15</f>
        <v>30</v>
      </c>
    </row>
    <row r="35" spans="2:4">
      <c r="B35" s="28" t="s">
        <v>24</v>
      </c>
      <c r="C35" s="29">
        <f>VLOOKUP($C$30&amp;"-"&amp;B35,Planilha2!$A:$D,4,FALSE)</f>
        <v>0.5</v>
      </c>
      <c r="D35" s="30">
        <f t="shared" ref="D35:D39" si="0">C35*$D$15</f>
        <v>50</v>
      </c>
    </row>
    <row r="36" spans="2:4">
      <c r="B36" s="28" t="s">
        <v>25</v>
      </c>
      <c r="C36" s="29">
        <f>VLOOKUP($C$30&amp;"-"&amp;B36,Planilha2!$A:$D,4,FALSE)</f>
        <v>0.1</v>
      </c>
      <c r="D36" s="30">
        <f t="shared" si="0"/>
        <v>10</v>
      </c>
    </row>
    <row r="37" spans="2:4">
      <c r="B37" s="28" t="s">
        <v>26</v>
      </c>
      <c r="C37" s="29">
        <f>VLOOKUP($C$30&amp;"-"&amp;B37,Planilha2!$A:$D,4,FALSE)</f>
        <v>0.1</v>
      </c>
      <c r="D37" s="30">
        <f t="shared" si="0"/>
        <v>10</v>
      </c>
    </row>
    <row r="38" spans="2:4">
      <c r="B38" s="28" t="s">
        <v>27</v>
      </c>
      <c r="C38" s="29">
        <f>VLOOKUP($C$30&amp;"-"&amp;B38,Planilha2!$A:$D,4,FALSE)</f>
        <v>0</v>
      </c>
      <c r="D38" s="30">
        <f t="shared" si="0"/>
        <v>0</v>
      </c>
    </row>
    <row r="39" spans="2:4">
      <c r="B39" s="28" t="s">
        <v>28</v>
      </c>
      <c r="C39" s="29">
        <f>VLOOKUP($C$30&amp;"-"&amp;B39,Planilha2!$A:$D,4,FALSE)</f>
        <v>0</v>
      </c>
      <c r="D39" s="30">
        <f t="shared" si="0"/>
        <v>0</v>
      </c>
    </row>
    <row r="40" spans="2:4">
      <c r="B40" s="32"/>
      <c r="C40" s="31"/>
      <c r="D40" s="33">
        <f>SUM(D34:D39)</f>
        <v>100</v>
      </c>
    </row>
    <row r="57" spans="2:4">
      <c r="B57" s="23" t="s">
        <v>17</v>
      </c>
      <c r="C57" s="24" t="s">
        <v>29</v>
      </c>
      <c r="D57" s="23"/>
    </row>
    <row r="58" spans="2:4">
      <c r="B58" s="27" t="s">
        <v>30</v>
      </c>
      <c r="C58" s="26">
        <f>D12</f>
        <v>1260</v>
      </c>
      <c r="D58" s="25"/>
    </row>
    <row r="60" spans="2:4">
      <c r="B60" s="31" t="s">
        <v>20</v>
      </c>
      <c r="C60" s="31" t="s">
        <v>21</v>
      </c>
      <c r="D60" s="31" t="s">
        <v>22</v>
      </c>
    </row>
    <row r="61" spans="2:4">
      <c r="B61" t="s">
        <v>23</v>
      </c>
      <c r="C61" s="42">
        <f>VLOOKUP($C$57&amp;"-"&amp;B61,Planilha2!$A:$D,4,FALSE)</f>
        <v>0.5</v>
      </c>
      <c r="D61" s="41">
        <f>C61*$D$12</f>
        <v>630</v>
      </c>
    </row>
    <row r="62" spans="2:4">
      <c r="B62" t="s">
        <v>24</v>
      </c>
      <c r="C62" s="42">
        <f>VLOOKUP($C$57&amp;"-"&amp;B62,Planilha2!$A:$D,4,FALSE)</f>
        <v>0.1</v>
      </c>
      <c r="D62" s="41">
        <f t="shared" ref="D62:D66" si="1">C62*$D$12</f>
        <v>126</v>
      </c>
    </row>
    <row r="63" spans="2:4">
      <c r="B63" t="s">
        <v>25</v>
      </c>
      <c r="C63" s="42">
        <f>VLOOKUP($C$57&amp;"-"&amp;B63,Planilha2!$A:$D,4,FALSE)</f>
        <v>0.05</v>
      </c>
      <c r="D63" s="41">
        <f t="shared" si="1"/>
        <v>63</v>
      </c>
    </row>
    <row r="64" spans="2:4">
      <c r="B64" t="s">
        <v>26</v>
      </c>
      <c r="C64" s="42">
        <f>VLOOKUP($C$57&amp;"-"&amp;B64,Planilha2!$A:$D,4,FALSE)</f>
        <v>0.05</v>
      </c>
      <c r="D64" s="41">
        <f t="shared" si="1"/>
        <v>63</v>
      </c>
    </row>
    <row r="65" spans="2:4">
      <c r="B65" t="s">
        <v>27</v>
      </c>
      <c r="C65" s="42">
        <f>VLOOKUP($C$57&amp;"-"&amp;B65,Planilha2!$A:$D,4,FALSE)</f>
        <v>0.2</v>
      </c>
      <c r="D65" s="41">
        <f t="shared" si="1"/>
        <v>252</v>
      </c>
    </row>
    <row r="66" spans="2:4">
      <c r="B66" t="s">
        <v>28</v>
      </c>
      <c r="C66" s="42">
        <f>VLOOKUP($C$57&amp;"-"&amp;B66,Planilha2!$A:$D,4,FALSE)</f>
        <v>0.1</v>
      </c>
      <c r="D66" s="41">
        <f t="shared" si="1"/>
        <v>126</v>
      </c>
    </row>
    <row r="67" spans="2:4">
      <c r="B67" s="31"/>
      <c r="C67" s="31"/>
      <c r="D67" s="40">
        <f>SUM(D61:D66)</f>
        <v>1260</v>
      </c>
    </row>
  </sheetData>
  <mergeCells count="11">
    <mergeCell ref="B21:C21"/>
    <mergeCell ref="B15:C15"/>
    <mergeCell ref="B16:C16"/>
    <mergeCell ref="B17:C17"/>
    <mergeCell ref="B18:C18"/>
    <mergeCell ref="B19:C19"/>
    <mergeCell ref="B14:D14"/>
    <mergeCell ref="B10:C10"/>
    <mergeCell ref="B11:C11"/>
    <mergeCell ref="B12:C12"/>
    <mergeCell ref="B9:D9"/>
  </mergeCells>
  <dataValidations count="1">
    <dataValidation type="list" allowBlank="1" showInputMessage="1" showErrorMessage="1" sqref="C30 C57" xr:uid="{1C8C58D1-D399-444E-8BA6-1D9F6A2A61E7}">
      <formula1>"Conservador, Moderado,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C6BCF-42A1-4D6D-8CE5-E30568C83F7E}">
  <dimension ref="A1:F22"/>
  <sheetViews>
    <sheetView workbookViewId="0">
      <selection activeCell="B20" sqref="B20"/>
    </sheetView>
  </sheetViews>
  <sheetFormatPr defaultRowHeight="15"/>
  <cols>
    <col min="1" max="1" width="30.85546875" customWidth="1"/>
    <col min="2" max="2" width="12.140625" bestFit="1" customWidth="1"/>
    <col min="3" max="3" width="19.28515625" bestFit="1" customWidth="1"/>
    <col min="4" max="4" width="9.140625" style="28"/>
    <col min="6" max="6" width="10.85546875" bestFit="1" customWidth="1"/>
    <col min="8" max="8" width="17.140625" bestFit="1" customWidth="1"/>
  </cols>
  <sheetData>
    <row r="1" spans="1:6">
      <c r="A1" s="28" t="s">
        <v>31</v>
      </c>
      <c r="B1" s="28" t="s">
        <v>17</v>
      </c>
      <c r="C1" s="28" t="s">
        <v>20</v>
      </c>
      <c r="D1" s="28" t="s">
        <v>32</v>
      </c>
    </row>
    <row r="2" spans="1:6">
      <c r="A2" t="str">
        <f>B2&amp;"-"&amp;C2</f>
        <v>Conservador-PAPEL</v>
      </c>
      <c r="B2" t="s">
        <v>18</v>
      </c>
      <c r="C2" s="28" t="s">
        <v>23</v>
      </c>
      <c r="D2" s="29">
        <v>0.3</v>
      </c>
      <c r="F2" s="30"/>
    </row>
    <row r="3" spans="1:6">
      <c r="A3" t="str">
        <f>B3&amp;"-"&amp;C3</f>
        <v>Conservador-TIJOLO</v>
      </c>
      <c r="B3" t="s">
        <v>18</v>
      </c>
      <c r="C3" s="28" t="s">
        <v>24</v>
      </c>
      <c r="D3" s="29">
        <v>0.5</v>
      </c>
      <c r="F3" s="30"/>
    </row>
    <row r="4" spans="1:6">
      <c r="A4" t="str">
        <f t="shared" ref="A4:A19" si="0">B4&amp;"-"&amp;C4</f>
        <v>Conservador-HÍBRIDOS</v>
      </c>
      <c r="B4" t="s">
        <v>18</v>
      </c>
      <c r="C4" s="28" t="s">
        <v>25</v>
      </c>
      <c r="D4" s="29">
        <v>0.1</v>
      </c>
      <c r="F4" s="30"/>
    </row>
    <row r="5" spans="1:6">
      <c r="A5" t="str">
        <f t="shared" si="0"/>
        <v>Conservador-FOFs</v>
      </c>
      <c r="B5" t="s">
        <v>18</v>
      </c>
      <c r="C5" s="28" t="s">
        <v>26</v>
      </c>
      <c r="D5" s="29">
        <v>0.1</v>
      </c>
      <c r="F5" s="30"/>
    </row>
    <row r="6" spans="1:6">
      <c r="A6" t="str">
        <f t="shared" si="0"/>
        <v>Conservador-DESENVOLVIMENTO</v>
      </c>
      <c r="B6" t="s">
        <v>18</v>
      </c>
      <c r="C6" s="28" t="s">
        <v>27</v>
      </c>
      <c r="D6" s="29">
        <v>0</v>
      </c>
      <c r="F6" s="30"/>
    </row>
    <row r="7" spans="1:6">
      <c r="A7" s="34" t="str">
        <f t="shared" si="0"/>
        <v>Conservador-HOTELARIAS</v>
      </c>
      <c r="B7" s="34" t="s">
        <v>18</v>
      </c>
      <c r="C7" s="35" t="s">
        <v>28</v>
      </c>
      <c r="D7" s="36">
        <v>0</v>
      </c>
      <c r="F7" s="30"/>
    </row>
    <row r="8" spans="1:6">
      <c r="A8" s="37" t="str">
        <f t="shared" si="0"/>
        <v>Moderado-PAPEL</v>
      </c>
      <c r="B8" t="s">
        <v>33</v>
      </c>
      <c r="C8" s="28" t="s">
        <v>23</v>
      </c>
      <c r="D8" s="38">
        <v>0.32</v>
      </c>
      <c r="F8" s="30"/>
    </row>
    <row r="9" spans="1:6">
      <c r="A9" s="37" t="str">
        <f t="shared" si="0"/>
        <v>Moderado-TIJOLO</v>
      </c>
      <c r="B9" t="s">
        <v>33</v>
      </c>
      <c r="C9" s="28" t="s">
        <v>24</v>
      </c>
      <c r="D9" s="38">
        <v>0.35</v>
      </c>
      <c r="F9" s="30"/>
    </row>
    <row r="10" spans="1:6">
      <c r="A10" s="37" t="str">
        <f t="shared" si="0"/>
        <v>Moderado-HÍBRIDOS</v>
      </c>
      <c r="B10" t="s">
        <v>33</v>
      </c>
      <c r="C10" s="28" t="s">
        <v>25</v>
      </c>
      <c r="D10" s="38">
        <v>0.08</v>
      </c>
      <c r="F10" s="30"/>
    </row>
    <row r="11" spans="1:6">
      <c r="A11" s="37" t="str">
        <f t="shared" si="0"/>
        <v>Moderado-FOFs</v>
      </c>
      <c r="B11" t="s">
        <v>33</v>
      </c>
      <c r="C11" s="28" t="s">
        <v>26</v>
      </c>
      <c r="D11" s="38">
        <v>0.05</v>
      </c>
      <c r="F11" s="30"/>
    </row>
    <row r="12" spans="1:6">
      <c r="A12" s="37" t="str">
        <f t="shared" si="0"/>
        <v>Moderado-DESENVOLVIMENTO</v>
      </c>
      <c r="B12" t="s">
        <v>33</v>
      </c>
      <c r="C12" s="28" t="s">
        <v>27</v>
      </c>
      <c r="D12" s="38">
        <v>0.1</v>
      </c>
      <c r="F12" s="30"/>
    </row>
    <row r="13" spans="1:6">
      <c r="A13" s="34" t="str">
        <f t="shared" si="0"/>
        <v>Moderado-HOTELARIAS</v>
      </c>
      <c r="B13" s="34" t="s">
        <v>33</v>
      </c>
      <c r="C13" s="35" t="s">
        <v>28</v>
      </c>
      <c r="D13" s="39">
        <v>0.1</v>
      </c>
      <c r="F13" s="30"/>
    </row>
    <row r="14" spans="1:6">
      <c r="A14" s="37" t="str">
        <f t="shared" si="0"/>
        <v>Agressivo-PAPEL</v>
      </c>
      <c r="B14" t="s">
        <v>29</v>
      </c>
      <c r="C14" s="28" t="s">
        <v>23</v>
      </c>
      <c r="D14" s="38">
        <v>0.5</v>
      </c>
      <c r="F14" s="30"/>
    </row>
    <row r="15" spans="1:6">
      <c r="A15" s="37" t="str">
        <f t="shared" si="0"/>
        <v>Agressivo-TIJOLO</v>
      </c>
      <c r="B15" t="s">
        <v>29</v>
      </c>
      <c r="C15" s="28" t="s">
        <v>24</v>
      </c>
      <c r="D15" s="38">
        <v>0.1</v>
      </c>
      <c r="F15" s="30"/>
    </row>
    <row r="16" spans="1:6">
      <c r="A16" s="37" t="str">
        <f t="shared" si="0"/>
        <v>Agressivo-HÍBRIDOS</v>
      </c>
      <c r="B16" t="s">
        <v>29</v>
      </c>
      <c r="C16" s="28" t="s">
        <v>25</v>
      </c>
      <c r="D16" s="38">
        <v>0.05</v>
      </c>
      <c r="F16" s="30"/>
    </row>
    <row r="17" spans="1:6">
      <c r="A17" s="37" t="str">
        <f t="shared" si="0"/>
        <v>Agressivo-FOFs</v>
      </c>
      <c r="B17" t="s">
        <v>29</v>
      </c>
      <c r="C17" s="28" t="s">
        <v>26</v>
      </c>
      <c r="D17" s="38">
        <v>0.05</v>
      </c>
      <c r="F17" s="30"/>
    </row>
    <row r="18" spans="1:6">
      <c r="A18" s="37" t="str">
        <f t="shared" si="0"/>
        <v>Agressivo-DESENVOLVIMENTO</v>
      </c>
      <c r="B18" t="s">
        <v>29</v>
      </c>
      <c r="C18" s="28" t="s">
        <v>27</v>
      </c>
      <c r="D18" s="38">
        <v>0.2</v>
      </c>
      <c r="F18" s="30"/>
    </row>
    <row r="19" spans="1:6">
      <c r="A19" s="37" t="str">
        <f t="shared" si="0"/>
        <v>Agressivo-HOTELARIAS</v>
      </c>
      <c r="B19" t="s">
        <v>29</v>
      </c>
      <c r="C19" s="28" t="s">
        <v>28</v>
      </c>
      <c r="D19" s="38">
        <v>0.1</v>
      </c>
      <c r="F19" s="30"/>
    </row>
    <row r="20" spans="1:6">
      <c r="F20" s="30"/>
    </row>
    <row r="21" spans="1:6">
      <c r="F21" s="30"/>
    </row>
    <row r="22" spans="1:6">
      <c r="F22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2026-10-01T13:17:22Z</dcterms:created>
  <dcterms:modified xsi:type="dcterms:W3CDTF">2026-10-02T15:29:43Z</dcterms:modified>
  <cp:category/>
  <cp:contentStatus/>
</cp:coreProperties>
</file>